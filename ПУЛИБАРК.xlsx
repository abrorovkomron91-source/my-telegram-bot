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7"/>
  <workbookPr/>
  <mc:AlternateContent xmlns:mc="http://schemas.openxmlformats.org/markup-compatibility/2006">
    <mc:Choice Requires="x15">
      <x15ac:absPath xmlns:x15ac="http://schemas.microsoft.com/office/spreadsheetml/2010/11/ac" url="C:\Users\hp\OneDrive\"/>
    </mc:Choice>
  </mc:AlternateContent>
  <xr:revisionPtr revIDLastSave="0" documentId="8_{80A43C61-C562-5C4A-9136-B464AD4F3FD6}" xr6:coauthVersionLast="47" xr6:coauthVersionMax="47" xr10:uidLastSave="{00000000-0000-0000-0000-000000000000}"/>
  <bookViews>
    <workbookView xWindow="0" yWindow="735" windowWidth="29400" windowHeight="18375" xr2:uid="{00000000-000D-0000-FFFF-FFFF00000000}"/>
  </bookViews>
  <sheets>
    <sheet name="Лист4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F57" i="5"/>
  <c r="E56" i="5"/>
  <c r="F56" i="5"/>
  <c r="E54" i="5"/>
  <c r="F54" i="5"/>
  <c r="E53" i="5"/>
  <c r="F53" i="5"/>
  <c r="E52" i="5"/>
  <c r="F52" i="5"/>
  <c r="E51" i="5"/>
  <c r="F51" i="5"/>
  <c r="E50" i="5"/>
  <c r="F50" i="5"/>
  <c r="E49" i="5"/>
  <c r="F49" i="5"/>
  <c r="E48" i="5"/>
  <c r="F48" i="5"/>
  <c r="E47" i="5"/>
  <c r="F47" i="5"/>
  <c r="E46" i="5"/>
  <c r="F46" i="5"/>
  <c r="E45" i="5"/>
  <c r="F45" i="5"/>
  <c r="E44" i="5"/>
  <c r="F44" i="5"/>
  <c r="E43" i="5"/>
  <c r="F43" i="5"/>
  <c r="E42" i="5"/>
  <c r="F42" i="5"/>
  <c r="E41" i="5"/>
  <c r="F41" i="5"/>
  <c r="E40" i="5"/>
  <c r="F40" i="5"/>
  <c r="E39" i="5"/>
  <c r="F39" i="5"/>
  <c r="E38" i="5"/>
  <c r="F38" i="5"/>
  <c r="E37" i="5"/>
  <c r="F37" i="5"/>
  <c r="E36" i="5"/>
  <c r="F36" i="5"/>
  <c r="E35" i="5"/>
  <c r="F35" i="5"/>
  <c r="E34" i="5"/>
  <c r="F34" i="5"/>
  <c r="E33" i="5"/>
  <c r="F33" i="5"/>
  <c r="E32" i="5"/>
  <c r="F32" i="5"/>
  <c r="E31" i="5"/>
  <c r="F31" i="5"/>
  <c r="E30" i="5"/>
  <c r="F30" i="5"/>
  <c r="E29" i="5"/>
  <c r="F29" i="5"/>
  <c r="E28" i="5"/>
  <c r="F28" i="5"/>
  <c r="E27" i="5"/>
  <c r="F27" i="5"/>
  <c r="E26" i="5"/>
  <c r="F26" i="5"/>
  <c r="E25" i="5"/>
  <c r="F25" i="5"/>
  <c r="E24" i="5"/>
  <c r="F24" i="5"/>
  <c r="E23" i="5"/>
  <c r="F23" i="5"/>
  <c r="E22" i="5"/>
  <c r="F22" i="5"/>
  <c r="E21" i="5"/>
  <c r="F21" i="5"/>
  <c r="E20" i="5"/>
  <c r="F20" i="5"/>
  <c r="E19" i="5"/>
  <c r="F19" i="5"/>
  <c r="E18" i="5"/>
  <c r="F18" i="5"/>
  <c r="E17" i="5"/>
  <c r="F17" i="5"/>
  <c r="E16" i="5"/>
  <c r="F16" i="5"/>
  <c r="E15" i="5"/>
  <c r="F15" i="5"/>
  <c r="E14" i="5"/>
  <c r="F14" i="5"/>
  <c r="E13" i="5"/>
  <c r="F13" i="5"/>
  <c r="E12" i="5"/>
  <c r="F12" i="5"/>
  <c r="E11" i="5"/>
  <c r="F11" i="5"/>
  <c r="E10" i="5"/>
  <c r="F10" i="5"/>
  <c r="E9" i="5"/>
  <c r="F9" i="5"/>
  <c r="E8" i="5"/>
  <c r="F8" i="5"/>
  <c r="E7" i="5"/>
  <c r="F7" i="5"/>
  <c r="E6" i="5"/>
  <c r="F6" i="5"/>
  <c r="E5" i="5"/>
  <c r="F5" i="5"/>
  <c r="E4" i="5"/>
  <c r="F4" i="5"/>
  <c r="E3" i="5"/>
  <c r="F3" i="5"/>
  <c r="C55" i="5"/>
  <c r="D55" i="5"/>
  <c r="E55" i="5"/>
  <c r="F55" i="5"/>
</calcChain>
</file>

<file path=xl/sharedStrings.xml><?xml version="1.0" encoding="utf-8"?>
<sst xmlns="http://schemas.openxmlformats.org/spreadsheetml/2006/main" count="62" uniqueCount="62">
  <si>
    <t>№</t>
  </si>
  <si>
    <t>МАГАЗИН 1-ЭТАЖ</t>
  </si>
  <si>
    <t>ПУЛИ БАРК</t>
  </si>
  <si>
    <t>итого кВт</t>
  </si>
  <si>
    <t>итого сумма</t>
  </si>
  <si>
    <t>кВт Умоха</t>
  </si>
  <si>
    <t>кВт Имоха</t>
  </si>
  <si>
    <t>МАГАЗИНИ 16 ХУРШЕД</t>
  </si>
  <si>
    <t>МАГАЗИНИ 17-18 БОБОЧОН</t>
  </si>
  <si>
    <t>МАГАЗИНИ 19 ТОРТ</t>
  </si>
  <si>
    <t>МАГАЗИНИ 20 ВАХОБ</t>
  </si>
  <si>
    <t>МАГАЗИНИ 1 ПАНТЕРА</t>
  </si>
  <si>
    <t>МАГАЗИНИ 2 РАХМАТУЛО</t>
  </si>
  <si>
    <t>МАГАЗИНИ 3 ВАЛИ</t>
  </si>
  <si>
    <t>МАГАЗИНИ 4 КАРИМ</t>
  </si>
  <si>
    <t>МАГАЗИНИ 5 НАСИМ</t>
  </si>
  <si>
    <t>МАГАЗИНИ 6 ДАВЛАТДИЁР</t>
  </si>
  <si>
    <t>МАГАЗИНИ Д-1 НАВРУЗ</t>
  </si>
  <si>
    <t xml:space="preserve">МАГАЗИНИ Д-2 СИРОЧ </t>
  </si>
  <si>
    <t>МАГАЗИНИ 7 ИХТИЁР</t>
  </si>
  <si>
    <t>МАГАЗИНИ 8 БАНК ИБТ24</t>
  </si>
  <si>
    <t>МАГАЗИНИ 9 ХОДОК М</t>
  </si>
  <si>
    <t>МАГАЗИНИ 10 АПТЕК С</t>
  </si>
  <si>
    <t>МАГАЗИНИ Д-3 САМСУНГ</t>
  </si>
  <si>
    <t>МАГАЗИНИ Д-3 ЗЕТМОБАЙЛ</t>
  </si>
  <si>
    <t>МАГАЗИНИ Д-3 М.СОМОН</t>
  </si>
  <si>
    <t>МАГАЗИНИ Д-3Б ПАРИКМАХ</t>
  </si>
  <si>
    <t>МАГАЗИНИ Д-3Б ФАТА</t>
  </si>
  <si>
    <t>МАГАЗИНИ 11 ИЗАТ</t>
  </si>
  <si>
    <t>МАГАЗИНИ 12 ИСМОИЛ</t>
  </si>
  <si>
    <t>МАГАЗИНИ 13 Х.ИЗАТ</t>
  </si>
  <si>
    <t>МАГАЗИНИ 14 ТВ</t>
  </si>
  <si>
    <t>МАГАЗИНИ Д-4 ВАВИЛОН</t>
  </si>
  <si>
    <t>МАГАЗИНИ Д-4 МЕГАФОН</t>
  </si>
  <si>
    <t>МАГАЗИНИ Д-4 УСТО ТВ</t>
  </si>
  <si>
    <t>МАГАЗИНИ Д-4 УСТО ТЕЛЕФ</t>
  </si>
  <si>
    <t>МАГАЗИНИ Д-4Б РОМИШ</t>
  </si>
  <si>
    <t>МАГАЗИНИ 15 Б.СПИТАМЕН</t>
  </si>
  <si>
    <t>НЕЪМАТ ДУКОН</t>
  </si>
  <si>
    <t>НАСРДИН</t>
  </si>
  <si>
    <t>ФАРХОД ОБ</t>
  </si>
  <si>
    <t>БАНКАМАТИ ВАСЛ</t>
  </si>
  <si>
    <t>БАНКИ ЭСХАТА</t>
  </si>
  <si>
    <t>ГЛАВНОЙ</t>
  </si>
  <si>
    <t>НАСОСИ ОБ</t>
  </si>
  <si>
    <t>МАГАЗИНИ Д-2 КАМПЮТЕР</t>
  </si>
  <si>
    <t>ИТОГО:</t>
  </si>
  <si>
    <t>МАГАЗИНИ Д-3 О-МОБАЙЛ</t>
  </si>
  <si>
    <t>МАГАЗИНИ Д-4Б БИЛОЛ</t>
  </si>
  <si>
    <t>МАГАЗИНИ Д-2Б ФИРДАВС</t>
  </si>
  <si>
    <t>МАГАЗИНИ Д-2Б ПШОКА</t>
  </si>
  <si>
    <t>МАГАЗИНИ Д-2 КСЕРЯКОПЯ</t>
  </si>
  <si>
    <t>ЛИМПОПО</t>
  </si>
  <si>
    <t>МАРОЖНИК 3-ФАЗА</t>
  </si>
  <si>
    <t>НАСРДИН ГАЗВАДА</t>
  </si>
  <si>
    <t>ФАРХОД МАРОЖНИК</t>
  </si>
  <si>
    <t>МАРОЖНИК ХДОЙ</t>
  </si>
  <si>
    <t>ХИГМАТ</t>
  </si>
  <si>
    <t>CAMБУСА</t>
  </si>
  <si>
    <t>МАГАЗИНИ 12 ИСМО 3фаза</t>
  </si>
  <si>
    <t>КАСТЮМ БРУК КИРОЯ</t>
  </si>
  <si>
    <t>САМАНДАР ХАЛАДЕНИК МУРГ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</si>
</sst>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₽&quot;_-;\-* #,##0.00\ &quot;₽&quot;_-;_-* &quot;-&quot;??\ &quot;₽&quot;_-;_-@_-"/>
    <numFmt numFmtId="165" formatCode="_-[$$-409]* #,##0.00_ ;_-[$$-409]* \-#,##0.00\ ;_-[$$-409]* &quot;-&quot;??_ ;_-@_ "/>
    <numFmt numFmtId="166" formatCode="_(&quot;TJS&quot;* #,##0_);_(&quot;TJS&quot;* \(#,##0\);_(&quot;TJS&quot;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8"/>
      <color theme="1"/>
      <name val="Algerian"/>
      <family val="5"/>
    </font>
    <font>
      <sz val="18"/>
      <color theme="1"/>
      <name val="Algerian"/>
      <family val="5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Bahnschrift Light Condensed"/>
      <family val="2"/>
      <charset val="204"/>
    </font>
    <font>
      <b/>
      <sz val="15"/>
      <color theme="1"/>
      <name val="Calibri"/>
      <family val="2"/>
      <charset val="204"/>
      <scheme val="minor"/>
    </font>
    <font>
      <b/>
      <u/>
      <sz val="15"/>
      <color theme="1"/>
      <name val="Calibri"/>
      <family val="2"/>
      <charset val="204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u val="singleAccounting"/>
      <sz val="18"/>
      <color theme="1"/>
      <name val="Calibri"/>
      <family val="2"/>
      <scheme val="minor"/>
    </font>
    <font>
      <b/>
      <sz val="1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2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1" xfId="0" applyFont="1" applyBorder="1" applyAlignment="1">
      <alignment horizontal="right"/>
    </xf>
    <xf numFmtId="0" fontId="7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7" fillId="0" borderId="0" xfId="1" applyNumberFormat="1" applyFont="1"/>
    <xf numFmtId="0" fontId="1" fillId="0" borderId="1" xfId="0" applyFont="1" applyBorder="1" applyAlignment="1">
      <alignment horizontal="center"/>
    </xf>
    <xf numFmtId="164" fontId="7" fillId="0" borderId="0" xfId="1" applyFont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6" xfId="0" applyFont="1" applyBorder="1"/>
    <xf numFmtId="0" fontId="12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0" borderId="7" xfId="0" applyFont="1" applyBorder="1"/>
    <xf numFmtId="0" fontId="11" fillId="0" borderId="5" xfId="0" applyFont="1" applyBorder="1" applyAlignment="1">
      <alignment horizontal="center" vertical="center"/>
    </xf>
    <xf numFmtId="0" fontId="8" fillId="0" borderId="0" xfId="0" applyFont="1"/>
    <xf numFmtId="14" fontId="2" fillId="0" borderId="0" xfId="0" applyNumberFormat="1" applyFont="1"/>
    <xf numFmtId="0" fontId="4" fillId="0" borderId="2" xfId="0" applyFont="1" applyBorder="1"/>
    <xf numFmtId="0" fontId="8" fillId="0" borderId="5" xfId="0" applyFont="1" applyBorder="1" applyAlignment="1">
      <alignment horizontal="center" vertical="center"/>
    </xf>
    <xf numFmtId="0" fontId="4" fillId="0" borderId="0" xfId="0" applyFont="1"/>
    <xf numFmtId="166" fontId="10" fillId="0" borderId="5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166" fontId="14" fillId="2" borderId="1" xfId="0" applyNumberFormat="1" applyFont="1" applyFill="1" applyBorder="1" applyAlignment="1">
      <alignment horizontal="right" vertical="center"/>
    </xf>
    <xf numFmtId="166" fontId="1" fillId="0" borderId="3" xfId="0" applyNumberFormat="1" applyFont="1" applyBorder="1" applyAlignment="1">
      <alignment horizontal="right" vertical="center"/>
    </xf>
    <xf numFmtId="166" fontId="14" fillId="2" borderId="3" xfId="0" applyNumberFormat="1" applyFont="1" applyFill="1" applyBorder="1" applyAlignment="1">
      <alignment horizontal="right" vertical="center"/>
    </xf>
    <xf numFmtId="166" fontId="1" fillId="0" borderId="1" xfId="0" applyNumberFormat="1" applyFont="1" applyBorder="1"/>
    <xf numFmtId="166" fontId="7" fillId="0" borderId="0" xfId="0" applyNumberFormat="1" applyFon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166" fontId="15" fillId="0" borderId="4" xfId="0" applyNumberFormat="1" applyFont="1" applyBorder="1"/>
    <xf numFmtId="166" fontId="16" fillId="3" borderId="3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166" fontId="16" fillId="3" borderId="1" xfId="0" applyNumberFormat="1" applyFont="1" applyFill="1" applyBorder="1" applyAlignment="1">
      <alignment horizontal="right" vertical="center"/>
    </xf>
    <xf numFmtId="0" fontId="16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ерая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Cambria/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1:I60"/>
  <sheetViews>
    <sheetView tabSelected="1" zoomScale="150" zoomScaleNormal="100" workbookViewId="0">
      <pane xSplit="1" topLeftCell="B1" activePane="topRight" state="frozen"/>
      <selection activeCell="C53" sqref="C53"/>
      <selection pane="topRight" activeCell="F58" sqref="F58"/>
    </sheetView>
  </sheetViews>
  <sheetFormatPr defaultColWidth="8.875" defaultRowHeight="19.5" x14ac:dyDescent="0.25"/>
  <cols>
    <col min="1" max="1" width="4.16796875" style="7" customWidth="1"/>
    <col min="2" max="2" width="46.2734375" style="20" customWidth="1"/>
    <col min="3" max="3" width="15.46875" style="7" customWidth="1"/>
    <col min="4" max="4" width="15.73828125" style="7" customWidth="1"/>
    <col min="5" max="5" width="14.390625" style="7" customWidth="1"/>
    <col min="6" max="6" width="18.29296875" style="36" customWidth="1"/>
    <col min="7" max="10" width="9.28125" customWidth="1"/>
  </cols>
  <sheetData>
    <row r="1" spans="1:9" ht="21.75" x14ac:dyDescent="0.25">
      <c r="A1" s="44" t="s">
        <v>2</v>
      </c>
      <c r="B1" s="44"/>
      <c r="C1" s="44"/>
      <c r="D1" s="44"/>
      <c r="E1" s="44"/>
      <c r="F1" s="44"/>
      <c r="G1" s="27"/>
      <c r="H1" s="29"/>
      <c r="I1" s="26"/>
    </row>
    <row r="2" spans="1:9" ht="29.25" customHeight="1" x14ac:dyDescent="0.2">
      <c r="A2" s="28" t="s">
        <v>0</v>
      </c>
      <c r="B2" s="24" t="s">
        <v>1</v>
      </c>
      <c r="C2" s="8" t="s">
        <v>6</v>
      </c>
      <c r="D2" s="8" t="s">
        <v>5</v>
      </c>
      <c r="E2" s="8" t="s">
        <v>3</v>
      </c>
      <c r="F2" s="30" t="s">
        <v>4</v>
      </c>
      <c r="G2" s="3"/>
    </row>
    <row r="3" spans="1:9" x14ac:dyDescent="0.25">
      <c r="A3" s="4">
        <v>1</v>
      </c>
      <c r="B3" s="14" t="s">
        <v>11</v>
      </c>
      <c r="C3" s="9">
        <v>7950</v>
      </c>
      <c r="D3" s="9">
        <v>7364</v>
      </c>
      <c r="E3" s="9">
        <f>C3-D3</f>
        <v>586</v>
      </c>
      <c r="F3" s="31">
        <f>E3*1.3</f>
        <v>761.80000000000007</v>
      </c>
      <c r="G3" s="1"/>
    </row>
    <row r="4" spans="1:9" x14ac:dyDescent="0.25">
      <c r="A4" s="4">
        <v>2</v>
      </c>
      <c r="B4" s="14" t="s">
        <v>12</v>
      </c>
      <c r="C4" s="9">
        <v>4990</v>
      </c>
      <c r="D4" s="9">
        <v>4831</v>
      </c>
      <c r="E4" s="9">
        <f>C4-D4</f>
        <v>159</v>
      </c>
      <c r="F4" s="31">
        <f>E4*1.3</f>
        <v>206.70000000000002</v>
      </c>
      <c r="G4" s="1"/>
    </row>
    <row r="5" spans="1:9" x14ac:dyDescent="0.25">
      <c r="A5" s="4">
        <v>3</v>
      </c>
      <c r="B5" s="14" t="s">
        <v>17</v>
      </c>
      <c r="C5" s="9">
        <v>2724</v>
      </c>
      <c r="D5" s="9">
        <v>2343</v>
      </c>
      <c r="E5" s="9">
        <f t="shared" ref="E5:E44" si="0">C5-D5</f>
        <v>381</v>
      </c>
      <c r="F5" s="31">
        <f>E5*1.3</f>
        <v>495.3</v>
      </c>
      <c r="G5" s="1"/>
    </row>
    <row r="6" spans="1:9" x14ac:dyDescent="0.25">
      <c r="A6" s="4">
        <v>4</v>
      </c>
      <c r="B6" s="14" t="s">
        <v>13</v>
      </c>
      <c r="C6" s="9">
        <v>13564</v>
      </c>
      <c r="D6" s="9">
        <v>12870</v>
      </c>
      <c r="E6" s="9">
        <f t="shared" si="0"/>
        <v>694</v>
      </c>
      <c r="F6" s="31">
        <f>E6*1.3</f>
        <v>902.2</v>
      </c>
      <c r="G6" s="1"/>
    </row>
    <row r="7" spans="1:9" x14ac:dyDescent="0.25">
      <c r="A7" s="4">
        <v>5</v>
      </c>
      <c r="B7" s="14" t="s">
        <v>14</v>
      </c>
      <c r="C7" s="9">
        <v>8845</v>
      </c>
      <c r="D7" s="9">
        <v>8496</v>
      </c>
      <c r="E7" s="9">
        <f t="shared" si="0"/>
        <v>349</v>
      </c>
      <c r="F7" s="31">
        <f>E7*1.3</f>
        <v>453.7</v>
      </c>
      <c r="G7" s="1"/>
    </row>
    <row r="8" spans="1:9" x14ac:dyDescent="0.25">
      <c r="A8" s="4">
        <v>6</v>
      </c>
      <c r="B8" s="14" t="s">
        <v>15</v>
      </c>
      <c r="C8" s="9">
        <v>5940</v>
      </c>
      <c r="D8" s="9">
        <v>5658</v>
      </c>
      <c r="E8" s="9">
        <f t="shared" si="0"/>
        <v>282</v>
      </c>
      <c r="F8" s="31">
        <f>E8*1.3</f>
        <v>366.6</v>
      </c>
      <c r="G8" s="1"/>
    </row>
    <row r="9" spans="1:9" x14ac:dyDescent="0.25">
      <c r="A9" s="4">
        <v>7</v>
      </c>
      <c r="B9" s="14" t="s">
        <v>16</v>
      </c>
      <c r="C9" s="9">
        <v>2036</v>
      </c>
      <c r="D9" s="9">
        <v>1905</v>
      </c>
      <c r="E9" s="9">
        <f t="shared" si="0"/>
        <v>131</v>
      </c>
      <c r="F9" s="31">
        <f>E9*1.3</f>
        <v>170.3</v>
      </c>
      <c r="G9" s="1"/>
    </row>
    <row r="10" spans="1:9" x14ac:dyDescent="0.25">
      <c r="A10" s="4">
        <v>8</v>
      </c>
      <c r="B10" s="14" t="s">
        <v>18</v>
      </c>
      <c r="C10" s="9">
        <v>2240</v>
      </c>
      <c r="D10" s="9">
        <v>2147</v>
      </c>
      <c r="E10" s="9">
        <f t="shared" si="0"/>
        <v>93</v>
      </c>
      <c r="F10" s="31">
        <f>E10*1.3</f>
        <v>120.9</v>
      </c>
      <c r="G10" s="1"/>
    </row>
    <row r="11" spans="1:9" x14ac:dyDescent="0.25">
      <c r="A11" s="4">
        <v>9</v>
      </c>
      <c r="B11" s="14" t="s">
        <v>19</v>
      </c>
      <c r="C11" s="41">
        <v>1201</v>
      </c>
      <c r="D11" s="41">
        <v>992</v>
      </c>
      <c r="E11" s="41">
        <f t="shared" si="0"/>
        <v>209</v>
      </c>
      <c r="F11" s="42">
        <f>E11*1.3</f>
        <v>271.7</v>
      </c>
      <c r="G11" s="1"/>
    </row>
    <row r="12" spans="1:9" x14ac:dyDescent="0.25">
      <c r="A12" s="4">
        <v>10</v>
      </c>
      <c r="B12" s="14" t="s">
        <v>20</v>
      </c>
      <c r="C12" s="9">
        <v>8109</v>
      </c>
      <c r="D12" s="9">
        <v>7704</v>
      </c>
      <c r="E12" s="9">
        <f t="shared" si="0"/>
        <v>405</v>
      </c>
      <c r="F12" s="31">
        <f>E12*1.1</f>
        <v>445.50000000000006</v>
      </c>
      <c r="G12" s="1"/>
    </row>
    <row r="13" spans="1:9" x14ac:dyDescent="0.25">
      <c r="A13" s="4">
        <v>11</v>
      </c>
      <c r="B13" s="14" t="s">
        <v>21</v>
      </c>
      <c r="C13" s="9">
        <v>5096</v>
      </c>
      <c r="D13" s="9">
        <v>4473</v>
      </c>
      <c r="E13" s="9">
        <f t="shared" si="0"/>
        <v>623</v>
      </c>
      <c r="F13" s="31">
        <f>E13*1.3</f>
        <v>809.9</v>
      </c>
      <c r="G13" s="1"/>
    </row>
    <row r="14" spans="1:9" x14ac:dyDescent="0.25">
      <c r="A14" s="4">
        <v>12</v>
      </c>
      <c r="B14" s="14" t="s">
        <v>22</v>
      </c>
      <c r="C14" s="9">
        <v>10856</v>
      </c>
      <c r="D14" s="9">
        <v>10224</v>
      </c>
      <c r="E14" s="9">
        <f t="shared" si="0"/>
        <v>632</v>
      </c>
      <c r="F14" s="31">
        <f>E14*1.3</f>
        <v>821.6</v>
      </c>
      <c r="G14" s="1"/>
    </row>
    <row r="15" spans="1:9" x14ac:dyDescent="0.25">
      <c r="A15" s="4">
        <v>13</v>
      </c>
      <c r="B15" s="14" t="s">
        <v>23</v>
      </c>
      <c r="C15" s="9">
        <v>939</v>
      </c>
      <c r="D15" s="9">
        <v>833</v>
      </c>
      <c r="E15" s="9">
        <f t="shared" si="0"/>
        <v>106</v>
      </c>
      <c r="F15" s="31">
        <f>E15*1.3</f>
        <v>137.80000000000001</v>
      </c>
      <c r="G15" s="1"/>
    </row>
    <row r="16" spans="1:9" x14ac:dyDescent="0.25">
      <c r="A16" s="4">
        <v>14</v>
      </c>
      <c r="B16" s="14" t="s">
        <v>24</v>
      </c>
      <c r="C16" s="9">
        <v>318</v>
      </c>
      <c r="D16" s="9">
        <v>257</v>
      </c>
      <c r="E16" s="9">
        <f t="shared" si="0"/>
        <v>61</v>
      </c>
      <c r="F16" s="31">
        <f>E16*1.3</f>
        <v>79.3</v>
      </c>
      <c r="G16" s="1"/>
    </row>
    <row r="17" spans="1:7" x14ac:dyDescent="0.25">
      <c r="A17" s="4">
        <v>15</v>
      </c>
      <c r="B17" s="14" t="s">
        <v>25</v>
      </c>
      <c r="C17" s="9">
        <v>1223</v>
      </c>
      <c r="D17" s="9">
        <v>1155</v>
      </c>
      <c r="E17" s="9">
        <f t="shared" si="0"/>
        <v>68</v>
      </c>
      <c r="F17" s="31">
        <f>E17*1.3</f>
        <v>88.4</v>
      </c>
      <c r="G17" s="1"/>
    </row>
    <row r="18" spans="1:7" x14ac:dyDescent="0.25">
      <c r="A18" s="4">
        <v>16</v>
      </c>
      <c r="B18" s="14" t="s">
        <v>47</v>
      </c>
      <c r="C18" s="9">
        <v>154</v>
      </c>
      <c r="D18" s="9">
        <v>136</v>
      </c>
      <c r="E18" s="9">
        <f t="shared" si="0"/>
        <v>18</v>
      </c>
      <c r="F18" s="31">
        <f>E18*1.3</f>
        <v>23.400000000000002</v>
      </c>
      <c r="G18" s="1"/>
    </row>
    <row r="19" spans="1:7" x14ac:dyDescent="0.25">
      <c r="A19" s="4">
        <v>17</v>
      </c>
      <c r="B19" s="14" t="s">
        <v>26</v>
      </c>
      <c r="C19" s="9">
        <v>4461</v>
      </c>
      <c r="D19" s="9">
        <v>4124</v>
      </c>
      <c r="E19" s="9">
        <f t="shared" si="0"/>
        <v>337</v>
      </c>
      <c r="F19" s="31">
        <f>E19*1.3</f>
        <v>438.1</v>
      </c>
      <c r="G19" s="1"/>
    </row>
    <row r="20" spans="1:7" x14ac:dyDescent="0.25">
      <c r="A20" s="4">
        <v>18</v>
      </c>
      <c r="B20" s="14" t="s">
        <v>27</v>
      </c>
      <c r="C20" s="9">
        <v>6610</v>
      </c>
      <c r="D20" s="9">
        <v>6504</v>
      </c>
      <c r="E20" s="9">
        <f t="shared" si="0"/>
        <v>106</v>
      </c>
      <c r="F20" s="31">
        <f>E20*1.3</f>
        <v>137.80000000000001</v>
      </c>
      <c r="G20" s="1"/>
    </row>
    <row r="21" spans="1:7" x14ac:dyDescent="0.25">
      <c r="A21" s="4">
        <v>19</v>
      </c>
      <c r="B21" s="14" t="s">
        <v>28</v>
      </c>
      <c r="C21" s="9">
        <v>2375</v>
      </c>
      <c r="D21" s="9">
        <v>2210</v>
      </c>
      <c r="E21" s="9">
        <f t="shared" si="0"/>
        <v>165</v>
      </c>
      <c r="F21" s="31">
        <f>E21*1.3</f>
        <v>214.5</v>
      </c>
      <c r="G21" s="1"/>
    </row>
    <row r="22" spans="1:7" x14ac:dyDescent="0.25">
      <c r="A22" s="4">
        <v>20</v>
      </c>
      <c r="B22" s="14" t="s">
        <v>29</v>
      </c>
      <c r="C22" s="21">
        <v>0</v>
      </c>
      <c r="D22" s="21">
        <v>0</v>
      </c>
      <c r="E22" s="21">
        <f t="shared" si="0"/>
        <v>0</v>
      </c>
      <c r="F22" s="32">
        <f>E22*1.3</f>
        <v>0</v>
      </c>
      <c r="G22" s="1"/>
    </row>
    <row r="23" spans="1:7" x14ac:dyDescent="0.25">
      <c r="A23" s="4">
        <v>21</v>
      </c>
      <c r="B23" s="14" t="s">
        <v>30</v>
      </c>
      <c r="C23" s="9">
        <v>1664</v>
      </c>
      <c r="D23" s="9">
        <v>1459</v>
      </c>
      <c r="E23" s="9">
        <f t="shared" si="0"/>
        <v>205</v>
      </c>
      <c r="F23" s="31">
        <f>E23*1.3</f>
        <v>266.5</v>
      </c>
      <c r="G23" s="1"/>
    </row>
    <row r="24" spans="1:7" x14ac:dyDescent="0.25">
      <c r="A24" s="4">
        <v>22</v>
      </c>
      <c r="B24" s="14" t="s">
        <v>31</v>
      </c>
      <c r="C24" s="9">
        <v>3041</v>
      </c>
      <c r="D24" s="9">
        <v>2896</v>
      </c>
      <c r="E24" s="9">
        <f t="shared" si="0"/>
        <v>145</v>
      </c>
      <c r="F24" s="31">
        <f>E24*1.3</f>
        <v>188.5</v>
      </c>
      <c r="G24" s="1"/>
    </row>
    <row r="25" spans="1:7" x14ac:dyDescent="0.25">
      <c r="A25" s="4">
        <v>23</v>
      </c>
      <c r="B25" s="14" t="s">
        <v>32</v>
      </c>
      <c r="C25" s="9">
        <v>803</v>
      </c>
      <c r="D25" s="9">
        <v>744</v>
      </c>
      <c r="E25" s="9">
        <f t="shared" si="0"/>
        <v>59</v>
      </c>
      <c r="F25" s="31">
        <f>E25*1.3</f>
        <v>76.7</v>
      </c>
      <c r="G25" s="1"/>
    </row>
    <row r="26" spans="1:7" x14ac:dyDescent="0.25">
      <c r="A26" s="4">
        <v>24</v>
      </c>
      <c r="B26" s="14" t="s">
        <v>33</v>
      </c>
      <c r="C26" s="9">
        <v>761</v>
      </c>
      <c r="D26" s="9">
        <v>728</v>
      </c>
      <c r="E26" s="9">
        <f t="shared" si="0"/>
        <v>33</v>
      </c>
      <c r="F26" s="31">
        <f>E26*1.3</f>
        <v>42.9</v>
      </c>
      <c r="G26" s="1"/>
    </row>
    <row r="27" spans="1:7" x14ac:dyDescent="0.25">
      <c r="A27" s="4">
        <v>25</v>
      </c>
      <c r="B27" s="14" t="s">
        <v>34</v>
      </c>
      <c r="C27" s="9">
        <v>229</v>
      </c>
      <c r="D27" s="9">
        <v>211</v>
      </c>
      <c r="E27" s="9">
        <f t="shared" si="0"/>
        <v>18</v>
      </c>
      <c r="F27" s="31">
        <f>E27*1.3</f>
        <v>23.400000000000002</v>
      </c>
      <c r="G27" s="1"/>
    </row>
    <row r="28" spans="1:7" x14ac:dyDescent="0.25">
      <c r="A28" s="4">
        <v>26</v>
      </c>
      <c r="B28" s="14" t="s">
        <v>35</v>
      </c>
      <c r="C28" s="9">
        <v>263</v>
      </c>
      <c r="D28" s="9">
        <v>249</v>
      </c>
      <c r="E28" s="9">
        <f t="shared" si="0"/>
        <v>14</v>
      </c>
      <c r="F28" s="31">
        <f>E28*1.3</f>
        <v>18.2</v>
      </c>
      <c r="G28" s="1"/>
    </row>
    <row r="29" spans="1:7" x14ac:dyDescent="0.25">
      <c r="A29" s="4">
        <v>27</v>
      </c>
      <c r="B29" s="14" t="s">
        <v>48</v>
      </c>
      <c r="C29" s="9">
        <v>12743</v>
      </c>
      <c r="D29" s="9">
        <v>11515</v>
      </c>
      <c r="E29" s="9">
        <f t="shared" si="0"/>
        <v>1228</v>
      </c>
      <c r="F29" s="31">
        <f>E29*1.3</f>
        <v>1596.4</v>
      </c>
      <c r="G29" s="1"/>
    </row>
    <row r="30" spans="1:7" x14ac:dyDescent="0.25">
      <c r="A30" s="4">
        <v>28</v>
      </c>
      <c r="B30" s="14" t="s">
        <v>36</v>
      </c>
      <c r="C30" s="21">
        <v>33</v>
      </c>
      <c r="D30" s="21">
        <v>33</v>
      </c>
      <c r="E30" s="21">
        <f t="shared" si="0"/>
        <v>0</v>
      </c>
      <c r="F30" s="32">
        <f>E30*1.3</f>
        <v>0</v>
      </c>
      <c r="G30" s="1"/>
    </row>
    <row r="31" spans="1:7" x14ac:dyDescent="0.25">
      <c r="A31" s="4">
        <v>29</v>
      </c>
      <c r="B31" s="14" t="s">
        <v>37</v>
      </c>
      <c r="C31" s="9">
        <v>8106</v>
      </c>
      <c r="D31" s="9">
        <v>7502</v>
      </c>
      <c r="E31" s="9">
        <f t="shared" si="0"/>
        <v>604</v>
      </c>
      <c r="F31" s="31">
        <f>E31*1.3</f>
        <v>785.2</v>
      </c>
      <c r="G31" s="1"/>
    </row>
    <row r="32" spans="1:7" x14ac:dyDescent="0.25">
      <c r="A32" s="4">
        <v>30</v>
      </c>
      <c r="B32" s="14" t="s">
        <v>7</v>
      </c>
      <c r="C32" s="9">
        <v>2260</v>
      </c>
      <c r="D32" s="9">
        <v>2073</v>
      </c>
      <c r="E32" s="9">
        <f t="shared" si="0"/>
        <v>187</v>
      </c>
      <c r="F32" s="31">
        <f>E32*1.3</f>
        <v>243.1</v>
      </c>
      <c r="G32" s="1"/>
    </row>
    <row r="33" spans="1:7" x14ac:dyDescent="0.25">
      <c r="A33" s="4">
        <v>31</v>
      </c>
      <c r="B33" s="14" t="s">
        <v>8</v>
      </c>
      <c r="C33" s="9">
        <v>954</v>
      </c>
      <c r="D33" s="9">
        <v>862</v>
      </c>
      <c r="E33" s="9">
        <f t="shared" si="0"/>
        <v>92</v>
      </c>
      <c r="F33" s="31">
        <f>E33*1.3</f>
        <v>119.60000000000001</v>
      </c>
      <c r="G33" s="1"/>
    </row>
    <row r="34" spans="1:7" x14ac:dyDescent="0.25">
      <c r="A34" s="4">
        <v>32</v>
      </c>
      <c r="B34" s="14" t="s">
        <v>9</v>
      </c>
      <c r="C34" s="9">
        <v>66164</v>
      </c>
      <c r="D34" s="9">
        <v>64692</v>
      </c>
      <c r="E34" s="9">
        <f t="shared" si="0"/>
        <v>1472</v>
      </c>
      <c r="F34" s="31">
        <f>E34*1.3</f>
        <v>1913.6000000000001</v>
      </c>
      <c r="G34" s="1"/>
    </row>
    <row r="35" spans="1:7" x14ac:dyDescent="0.25">
      <c r="A35" s="4">
        <v>33</v>
      </c>
      <c r="B35" s="14" t="s">
        <v>10</v>
      </c>
      <c r="C35" s="9">
        <v>11388</v>
      </c>
      <c r="D35" s="9">
        <v>10768</v>
      </c>
      <c r="E35" s="9">
        <f t="shared" si="0"/>
        <v>620</v>
      </c>
      <c r="F35" s="31">
        <f>E35*1.3</f>
        <v>806</v>
      </c>
      <c r="G35" s="1"/>
    </row>
    <row r="36" spans="1:7" x14ac:dyDescent="0.25">
      <c r="A36" s="4">
        <v>34</v>
      </c>
      <c r="B36" s="14" t="s">
        <v>38</v>
      </c>
      <c r="C36" s="9">
        <v>17206</v>
      </c>
      <c r="D36" s="9">
        <v>16604</v>
      </c>
      <c r="E36" s="9">
        <f t="shared" si="0"/>
        <v>602</v>
      </c>
      <c r="F36" s="31">
        <f>E36*1.3</f>
        <v>782.6</v>
      </c>
      <c r="G36" s="1"/>
    </row>
    <row r="37" spans="1:7" x14ac:dyDescent="0.25">
      <c r="A37" s="4">
        <v>35</v>
      </c>
      <c r="B37" s="14" t="s">
        <v>57</v>
      </c>
      <c r="C37" s="9">
        <v>3629</v>
      </c>
      <c r="D37" s="9">
        <v>3437</v>
      </c>
      <c r="E37" s="9">
        <f t="shared" si="0"/>
        <v>192</v>
      </c>
      <c r="F37" s="31">
        <f>E37*1.3</f>
        <v>249.60000000000002</v>
      </c>
      <c r="G37" s="1"/>
    </row>
    <row r="38" spans="1:7" x14ac:dyDescent="0.25">
      <c r="A38" s="4">
        <v>36</v>
      </c>
      <c r="B38" s="14" t="s">
        <v>39</v>
      </c>
      <c r="C38" s="21">
        <v>857</v>
      </c>
      <c r="D38" s="21">
        <v>857</v>
      </c>
      <c r="E38" s="21">
        <f t="shared" si="0"/>
        <v>0</v>
      </c>
      <c r="F38" s="32">
        <f>E38*1.3</f>
        <v>0</v>
      </c>
      <c r="G38" s="2"/>
    </row>
    <row r="39" spans="1:7" x14ac:dyDescent="0.25">
      <c r="A39" s="4">
        <v>37</v>
      </c>
      <c r="B39" s="14" t="s">
        <v>55</v>
      </c>
      <c r="C39" s="21">
        <v>1037</v>
      </c>
      <c r="D39" s="21">
        <v>1037</v>
      </c>
      <c r="E39" s="21">
        <f t="shared" si="0"/>
        <v>0</v>
      </c>
      <c r="F39" s="32">
        <f>E39*1.3</f>
        <v>0</v>
      </c>
    </row>
    <row r="40" spans="1:7" x14ac:dyDescent="0.25">
      <c r="A40" s="4">
        <v>38</v>
      </c>
      <c r="B40" s="14" t="s">
        <v>40</v>
      </c>
      <c r="C40" s="21">
        <v>7941</v>
      </c>
      <c r="D40" s="21">
        <v>7941</v>
      </c>
      <c r="E40" s="21">
        <f t="shared" si="0"/>
        <v>0</v>
      </c>
      <c r="F40" s="32">
        <f>E40*1.3</f>
        <v>0</v>
      </c>
    </row>
    <row r="41" spans="1:7" x14ac:dyDescent="0.25">
      <c r="A41" s="4">
        <v>39</v>
      </c>
      <c r="B41" s="14" t="s">
        <v>56</v>
      </c>
      <c r="C41" s="21">
        <v>15265</v>
      </c>
      <c r="D41" s="21">
        <v>15265</v>
      </c>
      <c r="E41" s="21">
        <f t="shared" si="0"/>
        <v>0</v>
      </c>
      <c r="F41" s="32">
        <f>E41*1.3</f>
        <v>0</v>
      </c>
    </row>
    <row r="42" spans="1:7" x14ac:dyDescent="0.25">
      <c r="A42" s="4">
        <v>40</v>
      </c>
      <c r="B42" s="14" t="s">
        <v>41</v>
      </c>
      <c r="C42" s="9">
        <v>3349</v>
      </c>
      <c r="D42" s="9">
        <v>3219</v>
      </c>
      <c r="E42" s="9">
        <f t="shared" si="0"/>
        <v>130</v>
      </c>
      <c r="F42" s="31">
        <f>E42*1.3</f>
        <v>169</v>
      </c>
    </row>
    <row r="43" spans="1:7" x14ac:dyDescent="0.25">
      <c r="A43" s="4">
        <v>41</v>
      </c>
      <c r="B43" s="14" t="s">
        <v>58</v>
      </c>
      <c r="C43" s="41">
        <v>3806</v>
      </c>
      <c r="D43" s="41">
        <v>3467</v>
      </c>
      <c r="E43" s="41">
        <f t="shared" si="0"/>
        <v>339</v>
      </c>
      <c r="F43" s="42">
        <f>E43*1.3</f>
        <v>440.7</v>
      </c>
    </row>
    <row r="44" spans="1:7" x14ac:dyDescent="0.25">
      <c r="A44" s="4">
        <v>42</v>
      </c>
      <c r="B44" s="14" t="s">
        <v>42</v>
      </c>
      <c r="C44" s="9">
        <v>74043</v>
      </c>
      <c r="D44" s="9">
        <v>72404</v>
      </c>
      <c r="E44" s="9">
        <f t="shared" si="0"/>
        <v>1639</v>
      </c>
      <c r="F44" s="31">
        <f>E44*1.1</f>
        <v>1802.9</v>
      </c>
    </row>
    <row r="45" spans="1:7" x14ac:dyDescent="0.25">
      <c r="A45" s="4">
        <v>43</v>
      </c>
      <c r="B45" s="14" t="s">
        <v>59</v>
      </c>
      <c r="C45" s="9">
        <v>49927</v>
      </c>
      <c r="D45" s="9">
        <v>47220</v>
      </c>
      <c r="E45" s="9">
        <f t="shared" ref="E45:E51" si="1">C45-D45</f>
        <v>2707</v>
      </c>
      <c r="F45" s="31">
        <f>E45*1.3</f>
        <v>3519.1</v>
      </c>
    </row>
    <row r="46" spans="1:7" x14ac:dyDescent="0.25">
      <c r="A46" s="4">
        <v>44</v>
      </c>
      <c r="B46" s="15" t="s">
        <v>45</v>
      </c>
      <c r="C46" s="21">
        <v>4568</v>
      </c>
      <c r="D46" s="21">
        <v>4568</v>
      </c>
      <c r="E46" s="22">
        <f t="shared" si="1"/>
        <v>0</v>
      </c>
      <c r="F46" s="34">
        <f>E46*1.3</f>
        <v>0</v>
      </c>
    </row>
    <row r="47" spans="1:7" x14ac:dyDescent="0.25">
      <c r="A47" s="23">
        <v>45</v>
      </c>
      <c r="B47" s="16" t="s">
        <v>60</v>
      </c>
      <c r="C47" s="9">
        <v>191</v>
      </c>
      <c r="D47" s="9">
        <v>191</v>
      </c>
      <c r="E47" s="9">
        <f t="shared" si="1"/>
        <v>0</v>
      </c>
      <c r="F47" s="31">
        <f>E47*1.3</f>
        <v>0</v>
      </c>
    </row>
    <row r="48" spans="1:7" x14ac:dyDescent="0.25">
      <c r="A48" s="23">
        <v>46</v>
      </c>
      <c r="B48" s="16" t="s">
        <v>50</v>
      </c>
      <c r="C48" s="9">
        <v>7080</v>
      </c>
      <c r="D48" s="9">
        <v>6678</v>
      </c>
      <c r="E48" s="9">
        <f t="shared" si="1"/>
        <v>402</v>
      </c>
      <c r="F48" s="33">
        <f>E48*1.3</f>
        <v>522.6</v>
      </c>
    </row>
    <row r="49" spans="1:6" ht="16.5" customHeight="1" x14ac:dyDescent="0.25">
      <c r="A49" s="5">
        <v>47</v>
      </c>
      <c r="B49" s="17" t="s">
        <v>51</v>
      </c>
      <c r="C49" s="10">
        <v>468</v>
      </c>
      <c r="D49" s="10">
        <v>436</v>
      </c>
      <c r="E49" s="10">
        <f t="shared" si="1"/>
        <v>32</v>
      </c>
      <c r="F49" s="33">
        <f>E49*1.3</f>
        <v>41.6</v>
      </c>
    </row>
    <row r="50" spans="1:6" ht="18" customHeight="1" x14ac:dyDescent="0.25">
      <c r="A50" s="6">
        <v>48</v>
      </c>
      <c r="B50" s="16" t="s">
        <v>49</v>
      </c>
      <c r="C50" s="9">
        <v>2047</v>
      </c>
      <c r="D50" s="9">
        <v>1863</v>
      </c>
      <c r="E50" s="9">
        <f t="shared" si="1"/>
        <v>184</v>
      </c>
      <c r="F50" s="33">
        <f>E50*1.3</f>
        <v>239.20000000000002</v>
      </c>
    </row>
    <row r="51" spans="1:6" x14ac:dyDescent="0.25">
      <c r="A51" s="4">
        <v>49</v>
      </c>
      <c r="B51" s="17" t="s">
        <v>52</v>
      </c>
      <c r="C51" s="22">
        <v>280</v>
      </c>
      <c r="D51" s="22">
        <v>280</v>
      </c>
      <c r="E51" s="22">
        <f t="shared" si="1"/>
        <v>0</v>
      </c>
      <c r="F51" s="34">
        <f>E51*1.3</f>
        <v>0</v>
      </c>
    </row>
    <row r="52" spans="1:6" x14ac:dyDescent="0.25">
      <c r="A52" s="4">
        <v>50</v>
      </c>
      <c r="B52" s="17" t="s">
        <v>53</v>
      </c>
      <c r="C52" s="22">
        <v>272</v>
      </c>
      <c r="D52" s="22">
        <v>272</v>
      </c>
      <c r="E52" s="22">
        <f t="shared" ref="E52:E53" si="2">C52-D52</f>
        <v>0</v>
      </c>
      <c r="F52" s="34">
        <f>E52*1.3</f>
        <v>0</v>
      </c>
    </row>
    <row r="53" spans="1:6" x14ac:dyDescent="0.25">
      <c r="A53" s="5">
        <v>51</v>
      </c>
      <c r="B53" s="16" t="s">
        <v>54</v>
      </c>
      <c r="C53" s="21">
        <v>852</v>
      </c>
      <c r="D53" s="21">
        <v>852</v>
      </c>
      <c r="E53" s="21">
        <f t="shared" si="2"/>
        <v>0</v>
      </c>
      <c r="F53" s="34">
        <f>E53*1.3</f>
        <v>0</v>
      </c>
    </row>
    <row r="54" spans="1:6" x14ac:dyDescent="0.25">
      <c r="A54" s="4">
        <v>52</v>
      </c>
      <c r="B54" s="17" t="s">
        <v>61</v>
      </c>
      <c r="C54" s="43">
        <v>233</v>
      </c>
      <c r="D54" s="43">
        <v>120</v>
      </c>
      <c r="E54" s="43">
        <f>C54-D54</f>
        <v>113</v>
      </c>
      <c r="F54" s="40">
        <f>E54*1.3</f>
        <v>146.9</v>
      </c>
    </row>
    <row r="55" spans="1:6" ht="27.75" x14ac:dyDescent="0.6">
      <c r="A55" s="4">
        <v>54</v>
      </c>
      <c r="B55" s="18" t="s">
        <v>46</v>
      </c>
      <c r="C55" s="38">
        <f>SUM(C3:C54)</f>
        <v>391091</v>
      </c>
      <c r="D55" s="37">
        <f>SUM(D3:D54)</f>
        <v>374669</v>
      </c>
      <c r="E55" s="37">
        <f>SUM(E3:E49)</f>
        <v>16125</v>
      </c>
      <c r="F55" s="39">
        <f>SUM(F3:F54)</f>
        <v>20939.8</v>
      </c>
    </row>
    <row r="56" spans="1:6" x14ac:dyDescent="0.25">
      <c r="A56" s="4">
        <v>55</v>
      </c>
      <c r="B56" s="19" t="s">
        <v>44</v>
      </c>
      <c r="C56" s="9">
        <v>31455</v>
      </c>
      <c r="D56" s="9">
        <v>31212</v>
      </c>
      <c r="E56" s="10">
        <f>C56-D56</f>
        <v>243</v>
      </c>
      <c r="F56" s="33">
        <f>E56*1.3</f>
        <v>315.90000000000003</v>
      </c>
    </row>
    <row r="57" spans="1:6" x14ac:dyDescent="0.25">
      <c r="A57" s="4">
        <v>56</v>
      </c>
      <c r="B57" s="19" t="s">
        <v>43</v>
      </c>
      <c r="C57" s="9">
        <v>13859</v>
      </c>
      <c r="D57" s="9">
        <v>13708</v>
      </c>
      <c r="E57" s="12">
        <f>C57-D57</f>
        <v>151</v>
      </c>
      <c r="F57" s="35">
        <f>E57*1.3</f>
        <v>196.3</v>
      </c>
    </row>
    <row r="58" spans="1:6" x14ac:dyDescent="0.25">
      <c r="A58" s="25"/>
    </row>
    <row r="59" spans="1:6" x14ac:dyDescent="0.25">
      <c r="A59" s="25"/>
    </row>
    <row r="60" spans="1:6" x14ac:dyDescent="0.25">
      <c r="A60" s="25"/>
      <c r="D60" s="11"/>
      <c r="E60" s="13"/>
    </row>
  </sheetData>
  <mergeCells count="1">
    <mergeCell ref="A1:F1"/>
  </mergeCells>
  <pageMargins left="0.7" right="0.7" top="0.75" bottom="0.75" header="0.3" footer="0.3"/>
  <pageSetup paperSize="9" scale="67" fitToWidth="0" orientation="portrait" r:id="rId1"/>
  <ignoredErrors>
    <ignoredError sqref="E55:F5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2025-12-01T07:50:44Z</cp:lastPrinted>
  <dcterms:created xsi:type="dcterms:W3CDTF">2015-06-05T18:17:20Z</dcterms:created>
  <dcterms:modified xsi:type="dcterms:W3CDTF">2026-03-03T09:59:42Z</dcterms:modified>
</cp:coreProperties>
</file>